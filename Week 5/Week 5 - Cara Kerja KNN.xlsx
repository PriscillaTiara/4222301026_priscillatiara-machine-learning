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 LOQ\Documents\VSC\MACHINE_LEARNING\Week 5\"/>
    </mc:Choice>
  </mc:AlternateContent>
  <xr:revisionPtr revIDLastSave="0" documentId="13_ncr:10000001_{2E312880-46D3-44EB-A112-05BF9A8E8E6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7" i="1" l="1"/>
  <c r="AE56" i="1"/>
  <c r="AE55" i="1"/>
  <c r="AE54" i="1"/>
  <c r="AE52" i="1"/>
  <c r="AE53" i="1"/>
  <c r="AE51" i="1"/>
  <c r="AE48" i="1"/>
  <c r="AE47" i="1"/>
  <c r="AE50" i="1"/>
  <c r="AE49" i="1"/>
  <c r="AE46" i="1"/>
  <c r="AE45" i="1"/>
  <c r="L45" i="1"/>
  <c r="AE44" i="1"/>
  <c r="L44" i="1"/>
  <c r="AE43" i="1"/>
  <c r="S43" i="1"/>
  <c r="L43" i="1"/>
  <c r="AE42" i="1"/>
  <c r="S42" i="1"/>
  <c r="L42" i="1"/>
  <c r="AE40" i="1"/>
  <c r="S41" i="1"/>
  <c r="L41" i="1"/>
  <c r="AE41" i="1"/>
  <c r="S40" i="1"/>
  <c r="L40" i="1"/>
  <c r="AE38" i="1"/>
  <c r="S39" i="1"/>
  <c r="L39" i="1"/>
  <c r="AE39" i="1"/>
  <c r="S38" i="1"/>
  <c r="L38" i="1"/>
  <c r="S37" i="1"/>
  <c r="L37" i="1"/>
  <c r="S36" i="1"/>
  <c r="L36" i="1"/>
  <c r="S35" i="1"/>
  <c r="L35" i="1"/>
  <c r="S34" i="1"/>
  <c r="L34" i="1"/>
  <c r="S33" i="1"/>
  <c r="L33" i="1"/>
  <c r="S32" i="1"/>
  <c r="L32" i="1"/>
  <c r="S31" i="1"/>
  <c r="L31" i="1"/>
  <c r="S30" i="1"/>
  <c r="L30" i="1"/>
  <c r="S29" i="1"/>
  <c r="L29" i="1"/>
  <c r="S28" i="1"/>
  <c r="L28" i="1"/>
  <c r="S27" i="1"/>
  <c r="L27" i="1"/>
  <c r="S26" i="1"/>
  <c r="L26" i="1"/>
  <c r="S25" i="1"/>
  <c r="S24" i="1"/>
</calcChain>
</file>

<file path=xl/sharedStrings.xml><?xml version="1.0" encoding="utf-8"?>
<sst xmlns="http://schemas.openxmlformats.org/spreadsheetml/2006/main" count="152" uniqueCount="36">
  <si>
    <t>ID</t>
  </si>
  <si>
    <t>X1</t>
  </si>
  <si>
    <t>X2</t>
  </si>
  <si>
    <t>Y</t>
  </si>
  <si>
    <t>A</t>
  </si>
  <si>
    <t>X2 = 5</t>
  </si>
  <si>
    <t>B</t>
  </si>
  <si>
    <t>2. Pengukuran Jarak</t>
  </si>
  <si>
    <t>4. Visualisasi Persebaran Data (BEFORE)</t>
  </si>
  <si>
    <t>?</t>
  </si>
  <si>
    <t>Visualisasi Persebaran Data Setelah Menggunakan Model KNN (AFTER)</t>
  </si>
  <si>
    <t>CARA KERJA K-NN</t>
  </si>
  <si>
    <t>1. PERSIAPAN DATA &gt; . &lt;</t>
  </si>
  <si>
    <t>X1 = 6</t>
  </si>
  <si>
    <t>K = 5</t>
  </si>
  <si>
    <t xml:space="preserve">TITIK BARU : </t>
  </si>
  <si>
    <t xml:space="preserve">Nama : </t>
  </si>
  <si>
    <t xml:space="preserve">Priscilla Tiara S </t>
  </si>
  <si>
    <t xml:space="preserve">Nim : </t>
  </si>
  <si>
    <t xml:space="preserve">Kelas : </t>
  </si>
  <si>
    <t xml:space="preserve">RE 6 A </t>
  </si>
  <si>
    <t>Jarak dari (6,5)</t>
  </si>
  <si>
    <t>Menggunakan Rumus jarak Manhattan, untuk menghitung jarak antara titik baru (X1 = 6, X2 = 5) dari setiap titik data.</t>
  </si>
  <si>
    <t>RESULTS : !</t>
  </si>
  <si>
    <t>૮ ˶ᵔ ᵕ ᵔ˶ ა</t>
  </si>
  <si>
    <t>𐙚 ‧₊˚ ⋅</t>
  </si>
  <si>
    <t>3. Pemilihan Jumlah Tetangga (K = 5) dan identifikasi tetangga terdekat</t>
  </si>
  <si>
    <t>ID 6 = Jarak 2 = Kelas B</t>
  </si>
  <si>
    <t>ID 7 = Jarak 2 = Kelas A</t>
  </si>
  <si>
    <t>ID = Jarak 3 = Kelas B</t>
  </si>
  <si>
    <t xml:space="preserve">HASIL ANALISA 5 TETANGGA TERDEKAT : </t>
  </si>
  <si>
    <t>ID 8 = Jarak 3 = Kelas A</t>
  </si>
  <si>
    <t>ID 7 = Jarak 3 = Kelas B</t>
  </si>
  <si>
    <t>Mayoritas adalah B (3 suara B, 2 suara A)</t>
  </si>
  <si>
    <r>
      <t>Maka titik baru (X1 = 6, X2 = 5) akan diklasifikasikan ke kelas B berdasarkan algoritma</t>
    </r>
    <r>
      <rPr>
        <b/>
        <sz val="11"/>
        <color theme="1"/>
        <rFont val="Calibri"/>
      </rPr>
      <t xml:space="preserve"> KNN </t>
    </r>
    <r>
      <rPr>
        <sz val="11"/>
        <color theme="1"/>
        <rFont val="Calibri"/>
      </rPr>
      <t xml:space="preserve">dengan </t>
    </r>
    <r>
      <rPr>
        <b/>
        <sz val="11"/>
        <color theme="1"/>
        <rFont val="Calibri"/>
      </rPr>
      <t>K = 3</t>
    </r>
  </si>
  <si>
    <t>ket : visualisasi persebaran data setelah klasifikasi menggunakan algoritma k-nn (k=5) dengan perhitungan jarak manhattan. titik abu-abu pada koordinat (6,5) merupakan data uji baru. garis merah menunjukkan batas 5 tetangga terdekat dari data uji tersebut. dari hasil identifikasi 5 tetangga terdekat, terdapat 3 titik yang termasuk dalam kelas b dan 2 titik dalam kelas a. karena mayoritas tetangga terdekat berada pada kelas b, maka data uji baru diklasifikasikan ke dalam kelas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</si>
</sst>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36"/>
      <color rgb="FF002060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DD5B3"/>
        <bgColor indexed="64"/>
      </patternFill>
    </fill>
    <fill>
      <patternFill patternType="solid">
        <fgColor rgb="FFFDE9E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0" xfId="0" applyFont="1"/>
    <xf numFmtId="0" fontId="7" fillId="0" borderId="0" xfId="0" applyFont="1"/>
    <xf numFmtId="0" fontId="8" fillId="2" borderId="2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top"/>
    </xf>
    <xf numFmtId="0" fontId="9" fillId="2" borderId="2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6" fillId="0" borderId="0" xfId="0" applyFont="1" applyAlignment="1">
      <alignment horizontal="left" wrapText="1"/>
    </xf>
    <xf numFmtId="0" fontId="0" fillId="0" borderId="0" xfId="0"/>
    <xf numFmtId="0" fontId="3" fillId="0" borderId="0" xfId="0" applyFont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0" fillId="3" borderId="2" xfId="0" applyFill="1" applyBorder="1"/>
    <xf numFmtId="0" fontId="3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E9EA"/>
      <color rgb="FFBDD5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</a:t>
            </a:r>
            <a:r>
              <a:rPr lang="en-US" baseline="0"/>
              <a:t>  data KNN (k=5)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kelas a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Sheet1!$AB$38:$AB$48</c:f>
              <c:numCache>
                <c:formatCode>General</c:formatCode>
                <c:ptCount val="11"/>
                <c:pt idx="0">
                  <c:v>7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  <c:pt idx="4">
                  <c:v>9</c:v>
                </c:pt>
                <c:pt idx="5">
                  <c:v>6</c:v>
                </c:pt>
                <c:pt idx="6">
                  <c:v>10</c:v>
                </c:pt>
                <c:pt idx="7">
                  <c:v>4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</c:numCache>
            </c:numRef>
          </c:xVal>
          <c:yVal>
            <c:numRef>
              <c:f>Sheet1!$AC$38:$AC$48</c:f>
              <c:numCache>
                <c:formatCode>General</c:formatCode>
                <c:ptCount val="11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8</c:v>
                </c:pt>
                <c:pt idx="6">
                  <c:v>5</c:v>
                </c:pt>
                <c:pt idx="7">
                  <c:v>7</c:v>
                </c:pt>
                <c:pt idx="8">
                  <c:v>8</c:v>
                </c:pt>
                <c:pt idx="9">
                  <c:v>7</c:v>
                </c:pt>
                <c:pt idx="1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63-4309-B199-74EEFF8448AB}"/>
            </c:ext>
          </c:extLst>
        </c:ser>
        <c:ser>
          <c:idx val="1"/>
          <c:order val="1"/>
          <c:tx>
            <c:v>kelas b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Sheet1!$AB$49:$AB$57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1</c:v>
                </c:pt>
                <c:pt idx="5">
                  <c:v>2</c:v>
                </c:pt>
                <c:pt idx="6">
                  <c:v>9</c:v>
                </c:pt>
                <c:pt idx="7">
                  <c:v>1</c:v>
                </c:pt>
                <c:pt idx="8">
                  <c:v>10</c:v>
                </c:pt>
              </c:numCache>
            </c:numRef>
          </c:xVal>
          <c:yVal>
            <c:numRef>
              <c:f>Sheet1!$AC$49:$AC$57</c:f>
              <c:numCache>
                <c:formatCode>General</c:formatCode>
                <c:ptCount val="9"/>
                <c:pt idx="0">
                  <c:v>2</c:v>
                </c:pt>
                <c:pt idx="1">
                  <c:v>6</c:v>
                </c:pt>
                <c:pt idx="2">
                  <c:v>2</c:v>
                </c:pt>
                <c:pt idx="3">
                  <c:v>9</c:v>
                </c:pt>
                <c:pt idx="4">
                  <c:v>6</c:v>
                </c:pt>
                <c:pt idx="5">
                  <c:v>1</c:v>
                </c:pt>
                <c:pt idx="6">
                  <c:v>10</c:v>
                </c:pt>
                <c:pt idx="7">
                  <c:v>1</c:v>
                </c:pt>
                <c:pt idx="8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63-4309-B199-74EEFF8448AB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6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563-4309-B199-74EEFF844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227711"/>
        <c:axId val="674219551"/>
      </c:scatterChart>
      <c:valAx>
        <c:axId val="674227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19551"/>
        <c:crosses val="autoZero"/>
        <c:crossBetween val="midCat"/>
      </c:valAx>
      <c:valAx>
        <c:axId val="67421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27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</a:t>
            </a:r>
            <a:r>
              <a:rPr lang="en-US" baseline="0"/>
              <a:t> data before knn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kelas a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Sheet1!$AB$12:$AB$22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</c:v>
                </c:pt>
              </c:numCache>
            </c:numRef>
          </c:xVal>
          <c:yVal>
            <c:numRef>
              <c:f>Sheet1!$AC$12:$AC$22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10-4C91-9CCE-20D7064CA542}"/>
            </c:ext>
          </c:extLst>
        </c:ser>
        <c:ser>
          <c:idx val="1"/>
          <c:order val="1"/>
          <c:tx>
            <c:v>kelas b Sheet1!$AB$23:$AB$31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Sheet1!$AB$23:$AB$31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xVal>
          <c:yVal>
            <c:numRef>
              <c:f>Sheet1!$AC$23:$AC$31</c:f>
              <c:numCache>
                <c:formatCode>General</c:formatCode>
                <c:ptCount val="9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10</c:v>
                </c:pt>
                <c:pt idx="8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10-4C91-9CCE-20D7064CA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242591"/>
        <c:axId val="674241631"/>
      </c:scatterChart>
      <c:valAx>
        <c:axId val="67424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41631"/>
        <c:crosses val="autoZero"/>
        <c:crossBetween val="midCat"/>
      </c:valAx>
      <c:valAx>
        <c:axId val="67424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42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533398</xdr:colOff>
      <xdr:row>16</xdr:row>
      <xdr:rowOff>65313</xdr:rowOff>
    </xdr:from>
    <xdr:to>
      <xdr:col>11</xdr:col>
      <xdr:colOff>239485</xdr:colOff>
      <xdr:row>22</xdr:row>
      <xdr:rowOff>163285</xdr:rowOff>
    </xdr:to>
    <xdr:pic>
      <xdr:nvPicPr>
        <xdr:cNvPr id="4" name="Google Shape;403;p20">
          <a:extLst>
            <a:ext uri="{FF2B5EF4-FFF2-40B4-BE49-F238E27FC236}">
              <a16:creationId xmlns:a16="http://schemas.microsoft.com/office/drawing/2014/main" id="{73BDEAB2-D4E4-112C-6951-C7DEBEEB2BE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 l="13152" t="9815" r="13896" b="12219"/>
        <a:stretch>
          <a:fillRect/>
        </a:stretch>
      </xdr:blipFill>
      <xdr:spPr>
        <a:xfrm>
          <a:off x="4724398" y="3559627"/>
          <a:ext cx="2754087" cy="123008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31</xdr:col>
      <xdr:colOff>388471</xdr:colOff>
      <xdr:row>40</xdr:row>
      <xdr:rowOff>70223</xdr:rowOff>
    </xdr:from>
    <xdr:to>
      <xdr:col>39</xdr:col>
      <xdr:colOff>179295</xdr:colOff>
      <xdr:row>54</xdr:row>
      <xdr:rowOff>94129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0C488D-3206-CE6B-5617-E3F7CA0D6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468085</xdr:colOff>
      <xdr:row>13</xdr:row>
      <xdr:rowOff>70758</xdr:rowOff>
    </xdr:from>
    <xdr:to>
      <xdr:col>37</xdr:col>
      <xdr:colOff>1230085</xdr:colOff>
      <xdr:row>27</xdr:row>
      <xdr:rowOff>92529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D76A-A64B-DDDA-3D01-541E90137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508000</xdr:colOff>
      <xdr:row>45</xdr:row>
      <xdr:rowOff>0</xdr:rowOff>
    </xdr:from>
    <xdr:to>
      <xdr:col>37</xdr:col>
      <xdr:colOff>314476</xdr:colOff>
      <xdr:row>52</xdr:row>
      <xdr:rowOff>12096</xdr:rowOff>
    </xdr:to>
    <xdr:sp macro="" textlink="">
      <xdr:nvSpPr>
        <xdr:cNvPr id="9" name="Freeform: Shape 8">
          <a:extLst>
            <a:ext uri="{FF2B5EF4-FFF2-40B4-BE49-F238E27FC236}">
              <a16:creationId xmlns:a16="http://schemas.microsoft.com/office/drawing/2014/main" id="{99F38504-E737-BC6A-52E2-120ABB692F23}"/>
            </a:ext>
          </a:extLst>
        </xdr:cNvPr>
        <xdr:cNvSpPr/>
      </xdr:nvSpPr>
      <xdr:spPr>
        <a:xfrm>
          <a:off x="23307524" y="9023048"/>
          <a:ext cx="1620762" cy="1366762"/>
        </a:xfrm>
        <a:custGeom>
          <a:avLst/>
          <a:gdLst>
            <a:gd name="csX0" fmla="*/ 399143 w 1620762"/>
            <a:gd name="csY0" fmla="*/ 0 h 1366762"/>
            <a:gd name="csX1" fmla="*/ 374952 w 1620762"/>
            <a:gd name="csY1" fmla="*/ 120952 h 1366762"/>
            <a:gd name="csX2" fmla="*/ 326571 w 1620762"/>
            <a:gd name="csY2" fmla="*/ 181428 h 1366762"/>
            <a:gd name="csX3" fmla="*/ 290286 w 1620762"/>
            <a:gd name="csY3" fmla="*/ 229809 h 1366762"/>
            <a:gd name="csX4" fmla="*/ 254000 w 1620762"/>
            <a:gd name="csY4" fmla="*/ 350762 h 1366762"/>
            <a:gd name="csX5" fmla="*/ 205619 w 1620762"/>
            <a:gd name="csY5" fmla="*/ 665238 h 1366762"/>
            <a:gd name="csX6" fmla="*/ 145143 w 1620762"/>
            <a:gd name="csY6" fmla="*/ 725714 h 1366762"/>
            <a:gd name="csX7" fmla="*/ 84666 w 1620762"/>
            <a:gd name="csY7" fmla="*/ 786190 h 1366762"/>
            <a:gd name="csX8" fmla="*/ 48381 w 1620762"/>
            <a:gd name="csY8" fmla="*/ 822476 h 1366762"/>
            <a:gd name="csX9" fmla="*/ 0 w 1620762"/>
            <a:gd name="csY9" fmla="*/ 919238 h 1366762"/>
            <a:gd name="csX10" fmla="*/ 12095 w 1620762"/>
            <a:gd name="csY10" fmla="*/ 1257904 h 1366762"/>
            <a:gd name="csX11" fmla="*/ 48381 w 1620762"/>
            <a:gd name="csY11" fmla="*/ 1294190 h 1366762"/>
            <a:gd name="csX12" fmla="*/ 60476 w 1620762"/>
            <a:gd name="csY12" fmla="*/ 1342571 h 1366762"/>
            <a:gd name="csX13" fmla="*/ 96762 w 1620762"/>
            <a:gd name="csY13" fmla="*/ 1354666 h 1366762"/>
            <a:gd name="csX14" fmla="*/ 145143 w 1620762"/>
            <a:gd name="csY14" fmla="*/ 1366762 h 1366762"/>
            <a:gd name="csX15" fmla="*/ 399143 w 1620762"/>
            <a:gd name="csY15" fmla="*/ 1354666 h 1366762"/>
            <a:gd name="csX16" fmla="*/ 447524 w 1620762"/>
            <a:gd name="csY16" fmla="*/ 1330476 h 1366762"/>
            <a:gd name="csX17" fmla="*/ 508000 w 1620762"/>
            <a:gd name="csY17" fmla="*/ 1318381 h 1366762"/>
            <a:gd name="csX18" fmla="*/ 725714 w 1620762"/>
            <a:gd name="csY18" fmla="*/ 1221619 h 1366762"/>
            <a:gd name="csX19" fmla="*/ 1003905 w 1620762"/>
            <a:gd name="csY19" fmla="*/ 1161142 h 1366762"/>
            <a:gd name="csX20" fmla="*/ 1270000 w 1620762"/>
            <a:gd name="csY20" fmla="*/ 1185333 h 1366762"/>
            <a:gd name="csX21" fmla="*/ 1572381 w 1620762"/>
            <a:gd name="csY21" fmla="*/ 1064381 h 1366762"/>
            <a:gd name="csX22" fmla="*/ 1596571 w 1620762"/>
            <a:gd name="csY22" fmla="*/ 1016000 h 1366762"/>
            <a:gd name="csX23" fmla="*/ 1608666 w 1620762"/>
            <a:gd name="csY23" fmla="*/ 919238 h 1366762"/>
            <a:gd name="csX24" fmla="*/ 1620762 w 1620762"/>
            <a:gd name="csY24" fmla="*/ 882952 h 1366762"/>
            <a:gd name="csX25" fmla="*/ 1572381 w 1620762"/>
            <a:gd name="csY25" fmla="*/ 713619 h 1366762"/>
            <a:gd name="csX26" fmla="*/ 1536095 w 1620762"/>
            <a:gd name="csY26" fmla="*/ 689428 h 1366762"/>
            <a:gd name="csX27" fmla="*/ 1378857 w 1620762"/>
            <a:gd name="csY27" fmla="*/ 641047 h 1366762"/>
            <a:gd name="csX28" fmla="*/ 1318381 w 1620762"/>
            <a:gd name="csY28" fmla="*/ 628952 h 1366762"/>
            <a:gd name="csX29" fmla="*/ 1257905 w 1620762"/>
            <a:gd name="csY29" fmla="*/ 604762 h 1366762"/>
            <a:gd name="csX30" fmla="*/ 1185333 w 1620762"/>
            <a:gd name="csY30" fmla="*/ 592666 h 1366762"/>
            <a:gd name="csX31" fmla="*/ 1016000 w 1620762"/>
            <a:gd name="csY31" fmla="*/ 532190 h 1366762"/>
            <a:gd name="csX32" fmla="*/ 979714 w 1620762"/>
            <a:gd name="csY32" fmla="*/ 508000 h 1366762"/>
            <a:gd name="csX33" fmla="*/ 907143 w 1620762"/>
            <a:gd name="csY33" fmla="*/ 387047 h 1366762"/>
            <a:gd name="csX34" fmla="*/ 870857 w 1620762"/>
            <a:gd name="csY34" fmla="*/ 193523 h 1366762"/>
            <a:gd name="csX35" fmla="*/ 846666 w 1620762"/>
            <a:gd name="csY35" fmla="*/ 145142 h 1366762"/>
            <a:gd name="csX36" fmla="*/ 713619 w 1620762"/>
            <a:gd name="csY36" fmla="*/ 48381 h 1366762"/>
            <a:gd name="csX37" fmla="*/ 701524 w 1620762"/>
            <a:gd name="csY37" fmla="*/ 12095 h 1366762"/>
            <a:gd name="csX38" fmla="*/ 641047 w 1620762"/>
            <a:gd name="csY38" fmla="*/ 0 h 1366762"/>
            <a:gd name="csX39" fmla="*/ 447524 w 1620762"/>
            <a:gd name="csY39" fmla="*/ 12095 h 1366762"/>
            <a:gd name="csX40" fmla="*/ 399143 w 1620762"/>
            <a:gd name="csY40" fmla="*/ 84666 h 136676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</a:cxnLst>
          <a:rect l="l" t="t" r="r" b="b"/>
          <a:pathLst>
            <a:path w="1620762" h="1366762">
              <a:moveTo>
                <a:pt x="399143" y="0"/>
              </a:moveTo>
              <a:cubicBezTo>
                <a:pt x="391079" y="40317"/>
                <a:pt x="387044" y="81654"/>
                <a:pt x="374952" y="120952"/>
              </a:cubicBezTo>
              <a:cubicBezTo>
                <a:pt x="366198" y="149403"/>
                <a:pt x="343970" y="160549"/>
                <a:pt x="326571" y="181428"/>
              </a:cubicBezTo>
              <a:cubicBezTo>
                <a:pt x="313666" y="196914"/>
                <a:pt x="302381" y="213682"/>
                <a:pt x="290286" y="229809"/>
              </a:cubicBezTo>
              <a:cubicBezTo>
                <a:pt x="279530" y="262075"/>
                <a:pt x="260094" y="314200"/>
                <a:pt x="254000" y="350762"/>
              </a:cubicBezTo>
              <a:cubicBezTo>
                <a:pt x="237590" y="449222"/>
                <a:pt x="236360" y="576858"/>
                <a:pt x="205619" y="665238"/>
              </a:cubicBezTo>
              <a:cubicBezTo>
                <a:pt x="196253" y="692164"/>
                <a:pt x="165302" y="705555"/>
                <a:pt x="145143" y="725714"/>
              </a:cubicBezTo>
              <a:lnTo>
                <a:pt x="84666" y="786190"/>
              </a:lnTo>
              <a:cubicBezTo>
                <a:pt x="72571" y="798285"/>
                <a:pt x="56031" y="807177"/>
                <a:pt x="48381" y="822476"/>
              </a:cubicBezTo>
              <a:lnTo>
                <a:pt x="0" y="919238"/>
              </a:lnTo>
              <a:cubicBezTo>
                <a:pt x="4032" y="1032127"/>
                <a:pt x="-2361" y="1145872"/>
                <a:pt x="12095" y="1257904"/>
              </a:cubicBezTo>
              <a:cubicBezTo>
                <a:pt x="14284" y="1274869"/>
                <a:pt x="39894" y="1279338"/>
                <a:pt x="48381" y="1294190"/>
              </a:cubicBezTo>
              <a:cubicBezTo>
                <a:pt x="56628" y="1308623"/>
                <a:pt x="50091" y="1329590"/>
                <a:pt x="60476" y="1342571"/>
              </a:cubicBezTo>
              <a:cubicBezTo>
                <a:pt x="68441" y="1352527"/>
                <a:pt x="84503" y="1351163"/>
                <a:pt x="96762" y="1354666"/>
              </a:cubicBezTo>
              <a:cubicBezTo>
                <a:pt x="112746" y="1359233"/>
                <a:pt x="129016" y="1362730"/>
                <a:pt x="145143" y="1366762"/>
              </a:cubicBezTo>
              <a:cubicBezTo>
                <a:pt x="229810" y="1362730"/>
                <a:pt x="314984" y="1364765"/>
                <a:pt x="399143" y="1354666"/>
              </a:cubicBezTo>
              <a:cubicBezTo>
                <a:pt x="417045" y="1352518"/>
                <a:pt x="430419" y="1336178"/>
                <a:pt x="447524" y="1330476"/>
              </a:cubicBezTo>
              <a:cubicBezTo>
                <a:pt x="467027" y="1323975"/>
                <a:pt x="487841" y="1322413"/>
                <a:pt x="508000" y="1318381"/>
              </a:cubicBezTo>
              <a:cubicBezTo>
                <a:pt x="665099" y="1218408"/>
                <a:pt x="589008" y="1241148"/>
                <a:pt x="725714" y="1221619"/>
              </a:cubicBezTo>
              <a:cubicBezTo>
                <a:pt x="825596" y="1193081"/>
                <a:pt x="901729" y="1161142"/>
                <a:pt x="1003905" y="1161142"/>
              </a:cubicBezTo>
              <a:cubicBezTo>
                <a:pt x="1034811" y="1161142"/>
                <a:pt x="1229782" y="1181311"/>
                <a:pt x="1270000" y="1185333"/>
              </a:cubicBezTo>
              <a:cubicBezTo>
                <a:pt x="1662499" y="1168979"/>
                <a:pt x="1524810" y="1270524"/>
                <a:pt x="1572381" y="1064381"/>
              </a:cubicBezTo>
              <a:cubicBezTo>
                <a:pt x="1576435" y="1046812"/>
                <a:pt x="1588508" y="1032127"/>
                <a:pt x="1596571" y="1016000"/>
              </a:cubicBezTo>
              <a:cubicBezTo>
                <a:pt x="1600603" y="983746"/>
                <a:pt x="1602851" y="951219"/>
                <a:pt x="1608666" y="919238"/>
              </a:cubicBezTo>
              <a:cubicBezTo>
                <a:pt x="1610947" y="906694"/>
                <a:pt x="1620762" y="895702"/>
                <a:pt x="1620762" y="882952"/>
              </a:cubicBezTo>
              <a:cubicBezTo>
                <a:pt x="1620762" y="837966"/>
                <a:pt x="1592331" y="746870"/>
                <a:pt x="1572381" y="713619"/>
              </a:cubicBezTo>
              <a:cubicBezTo>
                <a:pt x="1564902" y="701154"/>
                <a:pt x="1548717" y="696640"/>
                <a:pt x="1536095" y="689428"/>
              </a:cubicBezTo>
              <a:cubicBezTo>
                <a:pt x="1472159" y="652893"/>
                <a:pt x="1468843" y="660330"/>
                <a:pt x="1378857" y="641047"/>
              </a:cubicBezTo>
              <a:cubicBezTo>
                <a:pt x="1358755" y="636739"/>
                <a:pt x="1338072" y="634859"/>
                <a:pt x="1318381" y="628952"/>
              </a:cubicBezTo>
              <a:cubicBezTo>
                <a:pt x="1297585" y="622713"/>
                <a:pt x="1278851" y="610475"/>
                <a:pt x="1257905" y="604762"/>
              </a:cubicBezTo>
              <a:cubicBezTo>
                <a:pt x="1234245" y="598309"/>
                <a:pt x="1209229" y="598181"/>
                <a:pt x="1185333" y="592666"/>
              </a:cubicBezTo>
              <a:cubicBezTo>
                <a:pt x="1122756" y="578225"/>
                <a:pt x="1073652" y="561016"/>
                <a:pt x="1016000" y="532190"/>
              </a:cubicBezTo>
              <a:cubicBezTo>
                <a:pt x="1002998" y="525689"/>
                <a:pt x="991809" y="516063"/>
                <a:pt x="979714" y="508000"/>
              </a:cubicBezTo>
              <a:cubicBezTo>
                <a:pt x="955524" y="467682"/>
                <a:pt x="912975" y="433702"/>
                <a:pt x="907143" y="387047"/>
              </a:cubicBezTo>
              <a:cubicBezTo>
                <a:pt x="897196" y="307474"/>
                <a:pt x="896515" y="270496"/>
                <a:pt x="870857" y="193523"/>
              </a:cubicBezTo>
              <a:cubicBezTo>
                <a:pt x="865155" y="176418"/>
                <a:pt x="858539" y="158711"/>
                <a:pt x="846666" y="145142"/>
              </a:cubicBezTo>
              <a:cubicBezTo>
                <a:pt x="823378" y="118528"/>
                <a:pt x="740221" y="66116"/>
                <a:pt x="713619" y="48381"/>
              </a:cubicBezTo>
              <a:cubicBezTo>
                <a:pt x="709587" y="36286"/>
                <a:pt x="712132" y="19167"/>
                <a:pt x="701524" y="12095"/>
              </a:cubicBezTo>
              <a:cubicBezTo>
                <a:pt x="684419" y="691"/>
                <a:pt x="661605" y="0"/>
                <a:pt x="641047" y="0"/>
              </a:cubicBezTo>
              <a:cubicBezTo>
                <a:pt x="576413" y="0"/>
                <a:pt x="512032" y="8063"/>
                <a:pt x="447524" y="12095"/>
              </a:cubicBezTo>
              <a:cubicBezTo>
                <a:pt x="391735" y="30691"/>
                <a:pt x="413738" y="11688"/>
                <a:pt x="399143" y="84666"/>
              </a:cubicBezTo>
            </a:path>
          </a:pathLst>
        </a:cu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L1000"/>
  <sheetViews>
    <sheetView tabSelected="1" topLeftCell="AA8" zoomScale="141" zoomScaleNormal="85" workbookViewId="0">
      <selection activeCell="AO55" sqref="AO55"/>
    </sheetView>
  </sheetViews>
  <sheetFormatPr defaultColWidth="14.44140625" defaultRowHeight="15" customHeight="1" x14ac:dyDescent="0.3"/>
  <cols>
    <col min="1" max="1" width="8.6640625" customWidth="1"/>
    <col min="2" max="2" width="7.33203125" customWidth="1"/>
    <col min="3" max="3" width="15.6640625" bestFit="1" customWidth="1"/>
    <col min="4" max="5" width="8.6640625" customWidth="1"/>
    <col min="6" max="6" width="11.88671875" customWidth="1"/>
    <col min="7" max="7" width="9.44140625" bestFit="1" customWidth="1"/>
    <col min="8" max="11" width="8.6640625" customWidth="1"/>
    <col min="12" max="12" width="18.44140625" bestFit="1" customWidth="1"/>
    <col min="13" max="18" width="8.6640625" customWidth="1"/>
    <col min="19" max="19" width="14.109375" customWidth="1"/>
    <col min="20" max="30" width="8.6640625" customWidth="1"/>
    <col min="31" max="31" width="13.44140625" bestFit="1" customWidth="1"/>
    <col min="32" max="35" width="8.6640625" customWidth="1"/>
    <col min="36" max="36" width="13" customWidth="1"/>
    <col min="37" max="37" width="13.44140625" customWidth="1"/>
    <col min="38" max="38" width="19.109375" customWidth="1"/>
    <col min="39" max="40" width="8.6640625" customWidth="1"/>
  </cols>
  <sheetData>
    <row r="2" spans="2:30" ht="14.4" x14ac:dyDescent="0.3"/>
    <row r="3" spans="2:30" ht="46.2" x14ac:dyDescent="0.85">
      <c r="B3" s="22" t="s">
        <v>11</v>
      </c>
      <c r="C3" s="23"/>
      <c r="D3" s="23"/>
      <c r="E3" s="23"/>
      <c r="F3" s="23"/>
      <c r="G3" s="15" t="s">
        <v>24</v>
      </c>
    </row>
    <row r="4" spans="2:30" ht="14.4" x14ac:dyDescent="0.3">
      <c r="B4" s="12" t="s">
        <v>16</v>
      </c>
      <c r="C4" s="12" t="s">
        <v>17</v>
      </c>
    </row>
    <row r="5" spans="2:30" ht="14.4" x14ac:dyDescent="0.3">
      <c r="B5" s="12" t="s">
        <v>18</v>
      </c>
      <c r="C5" s="13">
        <v>4222301026</v>
      </c>
    </row>
    <row r="6" spans="2:30" ht="14.4" x14ac:dyDescent="0.3">
      <c r="B6" s="12" t="s">
        <v>19</v>
      </c>
      <c r="C6" s="12" t="s">
        <v>20</v>
      </c>
    </row>
    <row r="7" spans="2:30" ht="14.4" x14ac:dyDescent="0.3">
      <c r="C7" s="8"/>
    </row>
    <row r="8" spans="2:30" ht="18.600000000000001" customHeight="1" x14ac:dyDescent="0.3"/>
    <row r="9" spans="2:30" ht="15" customHeight="1" x14ac:dyDescent="0.3">
      <c r="D9" s="10" t="s">
        <v>13</v>
      </c>
      <c r="AA9" s="26" t="s">
        <v>8</v>
      </c>
      <c r="AB9" s="20"/>
      <c r="AC9" s="20"/>
      <c r="AD9" s="20"/>
    </row>
    <row r="10" spans="2:30" ht="14.4" x14ac:dyDescent="0.3">
      <c r="C10" s="9" t="s">
        <v>15</v>
      </c>
      <c r="D10" s="10" t="s">
        <v>5</v>
      </c>
    </row>
    <row r="11" spans="2:30" ht="14.4" x14ac:dyDescent="0.3">
      <c r="D11" s="11" t="s">
        <v>14</v>
      </c>
      <c r="AA11" s="2" t="s">
        <v>0</v>
      </c>
      <c r="AB11" s="2" t="s">
        <v>1</v>
      </c>
      <c r="AC11" s="2" t="s">
        <v>2</v>
      </c>
      <c r="AD11" s="2" t="s">
        <v>3</v>
      </c>
    </row>
    <row r="12" spans="2:30" ht="14.4" x14ac:dyDescent="0.3">
      <c r="H12" s="5"/>
      <c r="AA12" s="3">
        <v>1</v>
      </c>
      <c r="AB12" s="3">
        <v>1</v>
      </c>
      <c r="AC12" s="3">
        <v>1</v>
      </c>
      <c r="AD12" s="3" t="s">
        <v>4</v>
      </c>
    </row>
    <row r="13" spans="2:30" ht="14.4" x14ac:dyDescent="0.3">
      <c r="AA13" s="3">
        <v>2</v>
      </c>
      <c r="AB13" s="3">
        <v>2</v>
      </c>
      <c r="AC13" s="3">
        <v>1</v>
      </c>
      <c r="AD13" s="3" t="s">
        <v>4</v>
      </c>
    </row>
    <row r="14" spans="2:30" ht="14.4" x14ac:dyDescent="0.3">
      <c r="B14" s="1" t="s">
        <v>12</v>
      </c>
      <c r="H14" s="24" t="s">
        <v>7</v>
      </c>
      <c r="I14" s="20"/>
      <c r="O14" s="25" t="s">
        <v>26</v>
      </c>
      <c r="P14" s="20"/>
      <c r="Q14" s="20"/>
      <c r="R14" s="20"/>
      <c r="S14" s="20"/>
      <c r="AA14" s="3">
        <v>3</v>
      </c>
      <c r="AB14" s="3">
        <v>3</v>
      </c>
      <c r="AC14" s="3">
        <v>2</v>
      </c>
      <c r="AD14" s="3" t="s">
        <v>4</v>
      </c>
    </row>
    <row r="15" spans="2:30" ht="14.4" x14ac:dyDescent="0.3">
      <c r="H15" s="19" t="s">
        <v>22</v>
      </c>
      <c r="I15" s="20"/>
      <c r="J15" s="20"/>
      <c r="K15" s="20"/>
      <c r="L15" s="20"/>
      <c r="M15" s="20"/>
      <c r="O15" s="20"/>
      <c r="P15" s="20"/>
      <c r="Q15" s="20"/>
      <c r="R15" s="20"/>
      <c r="S15" s="20"/>
      <c r="AA15" s="3">
        <v>4</v>
      </c>
      <c r="AB15" s="3">
        <v>4</v>
      </c>
      <c r="AC15" s="3">
        <v>2</v>
      </c>
      <c r="AD15" s="3" t="s">
        <v>6</v>
      </c>
    </row>
    <row r="16" spans="2:30" ht="19.5" customHeight="1" x14ac:dyDescent="0.3">
      <c r="B16" s="2" t="s">
        <v>0</v>
      </c>
      <c r="C16" s="2" t="s">
        <v>1</v>
      </c>
      <c r="D16" s="2" t="s">
        <v>2</v>
      </c>
      <c r="E16" s="2" t="s">
        <v>3</v>
      </c>
      <c r="H16" s="20"/>
      <c r="I16" s="20"/>
      <c r="J16" s="20"/>
      <c r="K16" s="20"/>
      <c r="L16" s="20"/>
      <c r="M16" s="20"/>
      <c r="O16" s="7" t="s">
        <v>30</v>
      </c>
      <c r="AA16" s="3">
        <v>5</v>
      </c>
      <c r="AB16" s="3">
        <v>5</v>
      </c>
      <c r="AC16" s="3">
        <v>3</v>
      </c>
      <c r="AD16" s="3" t="s">
        <v>6</v>
      </c>
    </row>
    <row r="17" spans="2:30" ht="14.4" x14ac:dyDescent="0.3">
      <c r="B17" s="3">
        <v>1</v>
      </c>
      <c r="C17" s="3">
        <v>1</v>
      </c>
      <c r="D17" s="3">
        <v>1</v>
      </c>
      <c r="E17" s="3" t="s">
        <v>4</v>
      </c>
      <c r="O17" s="7" t="s">
        <v>27</v>
      </c>
      <c r="AA17" s="3">
        <v>6</v>
      </c>
      <c r="AB17" s="3">
        <v>6</v>
      </c>
      <c r="AC17" s="3">
        <v>3</v>
      </c>
      <c r="AD17" s="3" t="s">
        <v>6</v>
      </c>
    </row>
    <row r="18" spans="2:30" ht="14.4" x14ac:dyDescent="0.3">
      <c r="B18" s="3">
        <v>2</v>
      </c>
      <c r="C18" s="3">
        <v>2</v>
      </c>
      <c r="D18" s="3">
        <v>1</v>
      </c>
      <c r="E18" s="3" t="s">
        <v>4</v>
      </c>
      <c r="L18" s="7"/>
      <c r="O18" s="7" t="s">
        <v>28</v>
      </c>
      <c r="AA18" s="3">
        <v>7</v>
      </c>
      <c r="AB18" s="3">
        <v>7</v>
      </c>
      <c r="AC18" s="3">
        <v>4</v>
      </c>
      <c r="AD18" s="3" t="s">
        <v>4</v>
      </c>
    </row>
    <row r="19" spans="2:30" ht="14.4" x14ac:dyDescent="0.3">
      <c r="B19" s="3">
        <v>3</v>
      </c>
      <c r="C19" s="3">
        <v>3</v>
      </c>
      <c r="D19" s="3">
        <v>2</v>
      </c>
      <c r="E19" s="3" t="s">
        <v>4</v>
      </c>
      <c r="L19" s="16" t="s">
        <v>25</v>
      </c>
      <c r="O19" s="7" t="s">
        <v>29</v>
      </c>
      <c r="AA19" s="3">
        <v>8</v>
      </c>
      <c r="AB19" s="3">
        <v>8</v>
      </c>
      <c r="AC19" s="3">
        <v>4</v>
      </c>
      <c r="AD19" s="3" t="s">
        <v>4</v>
      </c>
    </row>
    <row r="20" spans="2:30" ht="14.4" x14ac:dyDescent="0.3">
      <c r="B20" s="3">
        <v>4</v>
      </c>
      <c r="C20" s="3">
        <v>4</v>
      </c>
      <c r="D20" s="3">
        <v>2</v>
      </c>
      <c r="E20" s="3" t="s">
        <v>6</v>
      </c>
      <c r="O20" s="7" t="s">
        <v>31</v>
      </c>
      <c r="AA20" s="3">
        <v>9</v>
      </c>
      <c r="AB20" s="3">
        <v>9</v>
      </c>
      <c r="AC20" s="3">
        <v>5</v>
      </c>
      <c r="AD20" s="3" t="s">
        <v>6</v>
      </c>
    </row>
    <row r="21" spans="2:30" ht="15.75" customHeight="1" x14ac:dyDescent="0.3">
      <c r="B21" s="3">
        <v>5</v>
      </c>
      <c r="C21" s="3">
        <v>5</v>
      </c>
      <c r="D21" s="3">
        <v>3</v>
      </c>
      <c r="E21" s="3" t="s">
        <v>6</v>
      </c>
      <c r="O21" s="7" t="s">
        <v>32</v>
      </c>
      <c r="AA21" s="3">
        <v>10</v>
      </c>
      <c r="AB21" s="3">
        <v>10</v>
      </c>
      <c r="AC21" s="3">
        <v>5</v>
      </c>
      <c r="AD21" s="3" t="s">
        <v>4</v>
      </c>
    </row>
    <row r="22" spans="2:30" ht="15.75" customHeight="1" x14ac:dyDescent="0.3">
      <c r="B22" s="3">
        <v>6</v>
      </c>
      <c r="C22" s="3">
        <v>6</v>
      </c>
      <c r="D22" s="3">
        <v>3</v>
      </c>
      <c r="E22" s="3" t="s">
        <v>6</v>
      </c>
      <c r="AA22" s="3">
        <v>11</v>
      </c>
      <c r="AB22" s="3">
        <v>1</v>
      </c>
      <c r="AC22" s="3">
        <v>6</v>
      </c>
      <c r="AD22" s="3" t="s">
        <v>6</v>
      </c>
    </row>
    <row r="23" spans="2:30" ht="15.75" customHeight="1" x14ac:dyDescent="0.3">
      <c r="B23" s="3">
        <v>7</v>
      </c>
      <c r="C23" s="3">
        <v>7</v>
      </c>
      <c r="D23" s="3">
        <v>4</v>
      </c>
      <c r="E23" s="3" t="s">
        <v>4</v>
      </c>
      <c r="O23" s="2" t="s">
        <v>0</v>
      </c>
      <c r="P23" s="2" t="s">
        <v>1</v>
      </c>
      <c r="Q23" s="2" t="s">
        <v>2</v>
      </c>
      <c r="R23" s="2" t="s">
        <v>3</v>
      </c>
      <c r="S23" s="14" t="s">
        <v>21</v>
      </c>
      <c r="AA23" s="3">
        <v>12</v>
      </c>
      <c r="AB23" s="3">
        <v>2</v>
      </c>
      <c r="AC23" s="3">
        <v>6</v>
      </c>
      <c r="AD23" s="3" t="s">
        <v>6</v>
      </c>
    </row>
    <row r="24" spans="2:30" ht="15.75" customHeight="1" x14ac:dyDescent="0.3">
      <c r="B24" s="3">
        <v>8</v>
      </c>
      <c r="C24" s="3">
        <v>8</v>
      </c>
      <c r="D24" s="3">
        <v>4</v>
      </c>
      <c r="E24" s="3" t="s">
        <v>4</v>
      </c>
      <c r="O24" s="3">
        <v>6</v>
      </c>
      <c r="P24" s="3">
        <v>6</v>
      </c>
      <c r="Q24" s="3">
        <v>3</v>
      </c>
      <c r="R24" s="3" t="s">
        <v>6</v>
      </c>
      <c r="S24" s="6">
        <f t="shared" ref="S24:S43" si="0">ABS(P24 - 6) + ABS(Q24 - 5)</f>
        <v>2</v>
      </c>
      <c r="AA24" s="3">
        <v>13</v>
      </c>
      <c r="AB24" s="3">
        <v>3</v>
      </c>
      <c r="AC24" s="3">
        <v>7</v>
      </c>
      <c r="AD24" s="3" t="s">
        <v>4</v>
      </c>
    </row>
    <row r="25" spans="2:30" ht="15.75" customHeight="1" x14ac:dyDescent="0.3">
      <c r="B25" s="3">
        <v>9</v>
      </c>
      <c r="C25" s="3">
        <v>9</v>
      </c>
      <c r="D25" s="3">
        <v>5</v>
      </c>
      <c r="E25" s="3" t="s">
        <v>6</v>
      </c>
      <c r="H25" s="2" t="s">
        <v>0</v>
      </c>
      <c r="I25" s="2" t="s">
        <v>1</v>
      </c>
      <c r="J25" s="2" t="s">
        <v>2</v>
      </c>
      <c r="K25" s="2" t="s">
        <v>3</v>
      </c>
      <c r="L25" s="14" t="s">
        <v>21</v>
      </c>
      <c r="O25" s="3">
        <v>7</v>
      </c>
      <c r="P25" s="3">
        <v>7</v>
      </c>
      <c r="Q25" s="3">
        <v>4</v>
      </c>
      <c r="R25" s="3" t="s">
        <v>4</v>
      </c>
      <c r="S25" s="6">
        <f t="shared" si="0"/>
        <v>2</v>
      </c>
      <c r="AA25" s="3">
        <v>14</v>
      </c>
      <c r="AB25" s="3">
        <v>4</v>
      </c>
      <c r="AC25" s="3">
        <v>7</v>
      </c>
      <c r="AD25" s="3" t="s">
        <v>4</v>
      </c>
    </row>
    <row r="26" spans="2:30" ht="15" customHeight="1" x14ac:dyDescent="0.3">
      <c r="B26" s="3">
        <v>10</v>
      </c>
      <c r="C26" s="3">
        <v>10</v>
      </c>
      <c r="D26" s="3">
        <v>5</v>
      </c>
      <c r="E26" s="3" t="s">
        <v>4</v>
      </c>
      <c r="H26" s="3">
        <v>1</v>
      </c>
      <c r="I26" s="3">
        <v>1</v>
      </c>
      <c r="J26" s="3">
        <v>1</v>
      </c>
      <c r="K26" s="3" t="s">
        <v>4</v>
      </c>
      <c r="L26" s="6">
        <f>ABS(I26 - 6) + ABS(J26 - 5)</f>
        <v>9</v>
      </c>
      <c r="O26" s="3">
        <v>5</v>
      </c>
      <c r="P26" s="3">
        <v>5</v>
      </c>
      <c r="Q26" s="3">
        <v>3</v>
      </c>
      <c r="R26" s="3" t="s">
        <v>6</v>
      </c>
      <c r="S26" s="6">
        <f t="shared" si="0"/>
        <v>3</v>
      </c>
      <c r="AA26" s="3">
        <v>15</v>
      </c>
      <c r="AB26" s="3">
        <v>5</v>
      </c>
      <c r="AC26" s="3">
        <v>8</v>
      </c>
      <c r="AD26" s="3" t="s">
        <v>6</v>
      </c>
    </row>
    <row r="27" spans="2:30" ht="15.75" customHeight="1" x14ac:dyDescent="0.3">
      <c r="B27" s="3">
        <v>11</v>
      </c>
      <c r="C27" s="3">
        <v>1</v>
      </c>
      <c r="D27" s="3">
        <v>6</v>
      </c>
      <c r="E27" s="3" t="s">
        <v>6</v>
      </c>
      <c r="H27" s="3">
        <v>2</v>
      </c>
      <c r="I27" s="3">
        <v>2</v>
      </c>
      <c r="J27" s="3">
        <v>1</v>
      </c>
      <c r="K27" s="3" t="s">
        <v>4</v>
      </c>
      <c r="L27" s="6">
        <f>ABS(I27 - 6) + ABS(J27 - 5)</f>
        <v>8</v>
      </c>
      <c r="O27" s="3">
        <v>8</v>
      </c>
      <c r="P27" s="3">
        <v>8</v>
      </c>
      <c r="Q27" s="3">
        <v>4</v>
      </c>
      <c r="R27" s="3" t="s">
        <v>4</v>
      </c>
      <c r="S27" s="6">
        <f t="shared" si="0"/>
        <v>3</v>
      </c>
      <c r="AA27" s="3">
        <v>16</v>
      </c>
      <c r="AB27" s="3">
        <v>6</v>
      </c>
      <c r="AC27" s="3">
        <v>8</v>
      </c>
      <c r="AD27" s="3" t="s">
        <v>6</v>
      </c>
    </row>
    <row r="28" spans="2:30" ht="15.75" customHeight="1" x14ac:dyDescent="0.3">
      <c r="B28" s="3">
        <v>12</v>
      </c>
      <c r="C28" s="3">
        <v>2</v>
      </c>
      <c r="D28" s="3">
        <v>6</v>
      </c>
      <c r="E28" s="3" t="s">
        <v>6</v>
      </c>
      <c r="H28" s="3">
        <v>3</v>
      </c>
      <c r="I28" s="3">
        <v>3</v>
      </c>
      <c r="J28" s="3">
        <v>2</v>
      </c>
      <c r="K28" s="3" t="s">
        <v>4</v>
      </c>
      <c r="L28" s="6">
        <f t="shared" ref="L28:L45" si="1">ABS(I28 - 6) + ABS(J28 - 5)</f>
        <v>6</v>
      </c>
      <c r="O28" s="3">
        <v>9</v>
      </c>
      <c r="P28" s="3">
        <v>9</v>
      </c>
      <c r="Q28" s="3">
        <v>5</v>
      </c>
      <c r="R28" s="3" t="s">
        <v>6</v>
      </c>
      <c r="S28" s="6">
        <f t="shared" si="0"/>
        <v>3</v>
      </c>
      <c r="AA28" s="3">
        <v>17</v>
      </c>
      <c r="AB28" s="3">
        <v>7</v>
      </c>
      <c r="AC28" s="3">
        <v>9</v>
      </c>
      <c r="AD28" s="3" t="s">
        <v>4</v>
      </c>
    </row>
    <row r="29" spans="2:30" ht="15.75" customHeight="1" x14ac:dyDescent="0.3">
      <c r="B29" s="3">
        <v>13</v>
      </c>
      <c r="C29" s="3">
        <v>3</v>
      </c>
      <c r="D29" s="3">
        <v>7</v>
      </c>
      <c r="E29" s="3" t="s">
        <v>4</v>
      </c>
      <c r="H29" s="3">
        <v>4</v>
      </c>
      <c r="I29" s="3">
        <v>4</v>
      </c>
      <c r="J29" s="3">
        <v>2</v>
      </c>
      <c r="K29" s="3" t="s">
        <v>6</v>
      </c>
      <c r="L29" s="6">
        <f t="shared" si="1"/>
        <v>5</v>
      </c>
      <c r="O29" s="3">
        <v>16</v>
      </c>
      <c r="P29" s="3">
        <v>6</v>
      </c>
      <c r="Q29" s="3">
        <v>8</v>
      </c>
      <c r="R29" s="3" t="s">
        <v>6</v>
      </c>
      <c r="S29" s="6">
        <f t="shared" si="0"/>
        <v>3</v>
      </c>
      <c r="AA29" s="3">
        <v>18</v>
      </c>
      <c r="AB29" s="3">
        <v>8</v>
      </c>
      <c r="AC29" s="3">
        <v>9</v>
      </c>
      <c r="AD29" s="3" t="s">
        <v>4</v>
      </c>
    </row>
    <row r="30" spans="2:30" ht="15.75" customHeight="1" x14ac:dyDescent="0.3">
      <c r="B30" s="3">
        <v>14</v>
      </c>
      <c r="C30" s="3">
        <v>4</v>
      </c>
      <c r="D30" s="3">
        <v>7</v>
      </c>
      <c r="E30" s="3" t="s">
        <v>4</v>
      </c>
      <c r="H30" s="3">
        <v>5</v>
      </c>
      <c r="I30" s="3">
        <v>5</v>
      </c>
      <c r="J30" s="3">
        <v>3</v>
      </c>
      <c r="K30" s="3" t="s">
        <v>6</v>
      </c>
      <c r="L30" s="6">
        <f t="shared" si="1"/>
        <v>3</v>
      </c>
      <c r="O30" s="3">
        <v>10</v>
      </c>
      <c r="P30" s="3">
        <v>10</v>
      </c>
      <c r="Q30" s="3">
        <v>5</v>
      </c>
      <c r="R30" s="3" t="s">
        <v>4</v>
      </c>
      <c r="S30" s="6">
        <f t="shared" si="0"/>
        <v>4</v>
      </c>
      <c r="T30" s="7" t="s">
        <v>23</v>
      </c>
      <c r="AA30" s="3">
        <v>19</v>
      </c>
      <c r="AB30" s="3">
        <v>9</v>
      </c>
      <c r="AC30" s="3">
        <v>10</v>
      </c>
      <c r="AD30" s="3" t="s">
        <v>6</v>
      </c>
    </row>
    <row r="31" spans="2:30" ht="15.75" customHeight="1" x14ac:dyDescent="0.3">
      <c r="B31" s="3">
        <v>15</v>
      </c>
      <c r="C31" s="3">
        <v>5</v>
      </c>
      <c r="D31" s="3">
        <v>8</v>
      </c>
      <c r="E31" s="3" t="s">
        <v>6</v>
      </c>
      <c r="H31" s="3">
        <v>6</v>
      </c>
      <c r="I31" s="3">
        <v>6</v>
      </c>
      <c r="J31" s="3">
        <v>3</v>
      </c>
      <c r="K31" s="3" t="s">
        <v>6</v>
      </c>
      <c r="L31" s="6">
        <f t="shared" si="1"/>
        <v>2</v>
      </c>
      <c r="O31" s="3">
        <v>14</v>
      </c>
      <c r="P31" s="3">
        <v>4</v>
      </c>
      <c r="Q31" s="3">
        <v>7</v>
      </c>
      <c r="R31" s="3" t="s">
        <v>4</v>
      </c>
      <c r="S31" s="6">
        <f t="shared" si="0"/>
        <v>4</v>
      </c>
      <c r="AA31" s="3">
        <v>20</v>
      </c>
      <c r="AB31" s="3">
        <v>10</v>
      </c>
      <c r="AC31" s="3">
        <v>10</v>
      </c>
      <c r="AD31" s="3" t="s">
        <v>4</v>
      </c>
    </row>
    <row r="32" spans="2:30" ht="15.75" customHeight="1" x14ac:dyDescent="0.3">
      <c r="B32" s="3">
        <v>16</v>
      </c>
      <c r="C32" s="3">
        <v>6</v>
      </c>
      <c r="D32" s="3">
        <v>8</v>
      </c>
      <c r="E32" s="3" t="s">
        <v>6</v>
      </c>
      <c r="H32" s="3">
        <v>7</v>
      </c>
      <c r="I32" s="3">
        <v>7</v>
      </c>
      <c r="J32" s="3">
        <v>4</v>
      </c>
      <c r="K32" s="3" t="s">
        <v>4</v>
      </c>
      <c r="L32" s="6">
        <f t="shared" si="1"/>
        <v>2</v>
      </c>
      <c r="O32" s="3">
        <v>15</v>
      </c>
      <c r="P32" s="3">
        <v>5</v>
      </c>
      <c r="Q32" s="3">
        <v>8</v>
      </c>
      <c r="R32" s="3" t="s">
        <v>6</v>
      </c>
      <c r="S32" s="6">
        <f t="shared" si="0"/>
        <v>4</v>
      </c>
      <c r="T32" s="7" t="s">
        <v>33</v>
      </c>
    </row>
    <row r="33" spans="2:31" ht="15.75" customHeight="1" x14ac:dyDescent="0.3">
      <c r="B33" s="3">
        <v>17</v>
      </c>
      <c r="C33" s="3">
        <v>7</v>
      </c>
      <c r="D33" s="3">
        <v>9</v>
      </c>
      <c r="E33" s="3" t="s">
        <v>4</v>
      </c>
      <c r="H33" s="3">
        <v>8</v>
      </c>
      <c r="I33" s="3">
        <v>8</v>
      </c>
      <c r="J33" s="3">
        <v>4</v>
      </c>
      <c r="K33" s="3" t="s">
        <v>4</v>
      </c>
      <c r="L33" s="6">
        <f t="shared" si="1"/>
        <v>3</v>
      </c>
      <c r="O33" s="3">
        <v>4</v>
      </c>
      <c r="P33" s="3">
        <v>4</v>
      </c>
      <c r="Q33" s="3">
        <v>2</v>
      </c>
      <c r="R33" s="3" t="s">
        <v>6</v>
      </c>
      <c r="S33" s="6">
        <f t="shared" si="0"/>
        <v>5</v>
      </c>
      <c r="T33" s="19" t="s">
        <v>34</v>
      </c>
      <c r="U33" s="20"/>
      <c r="V33" s="20"/>
      <c r="W33" s="20"/>
      <c r="X33" s="20"/>
      <c r="Y33" s="20"/>
    </row>
    <row r="34" spans="2:31" ht="15.75" customHeight="1" x14ac:dyDescent="0.3">
      <c r="B34" s="3">
        <v>18</v>
      </c>
      <c r="C34" s="3">
        <v>8</v>
      </c>
      <c r="D34" s="3">
        <v>9</v>
      </c>
      <c r="E34" s="3" t="s">
        <v>4</v>
      </c>
      <c r="H34" s="3">
        <v>9</v>
      </c>
      <c r="I34" s="3">
        <v>9</v>
      </c>
      <c r="J34" s="3">
        <v>5</v>
      </c>
      <c r="K34" s="3" t="s">
        <v>6</v>
      </c>
      <c r="L34" s="6">
        <f t="shared" si="1"/>
        <v>3</v>
      </c>
      <c r="O34" s="3">
        <v>12</v>
      </c>
      <c r="P34" s="3">
        <v>2</v>
      </c>
      <c r="Q34" s="3">
        <v>6</v>
      </c>
      <c r="R34" s="3" t="s">
        <v>6</v>
      </c>
      <c r="S34" s="6">
        <f t="shared" si="0"/>
        <v>5</v>
      </c>
      <c r="T34" s="20"/>
      <c r="U34" s="20"/>
      <c r="V34" s="20"/>
      <c r="W34" s="20"/>
      <c r="X34" s="20"/>
      <c r="Y34" s="20"/>
      <c r="AA34" s="21" t="s">
        <v>10</v>
      </c>
      <c r="AB34" s="20"/>
      <c r="AC34" s="20"/>
      <c r="AD34" s="20"/>
    </row>
    <row r="35" spans="2:31" ht="15.75" customHeight="1" x14ac:dyDescent="0.3">
      <c r="B35" s="3">
        <v>19</v>
      </c>
      <c r="C35" s="3">
        <v>9</v>
      </c>
      <c r="D35" s="3">
        <v>10</v>
      </c>
      <c r="E35" s="3" t="s">
        <v>6</v>
      </c>
      <c r="H35" s="3">
        <v>10</v>
      </c>
      <c r="I35" s="3">
        <v>10</v>
      </c>
      <c r="J35" s="3">
        <v>5</v>
      </c>
      <c r="K35" s="3" t="s">
        <v>4</v>
      </c>
      <c r="L35" s="6">
        <f t="shared" si="1"/>
        <v>4</v>
      </c>
      <c r="O35" s="3">
        <v>13</v>
      </c>
      <c r="P35" s="3">
        <v>3</v>
      </c>
      <c r="Q35" s="3">
        <v>7</v>
      </c>
      <c r="R35" s="3" t="s">
        <v>4</v>
      </c>
      <c r="S35" s="6">
        <f t="shared" si="0"/>
        <v>5</v>
      </c>
      <c r="AA35" s="20"/>
      <c r="AB35" s="20"/>
      <c r="AC35" s="20"/>
      <c r="AD35" s="20"/>
    </row>
    <row r="36" spans="2:31" ht="15.75" customHeight="1" x14ac:dyDescent="0.3">
      <c r="B36" s="3">
        <v>20</v>
      </c>
      <c r="C36" s="3">
        <v>10</v>
      </c>
      <c r="D36" s="3">
        <v>10</v>
      </c>
      <c r="E36" s="3" t="s">
        <v>4</v>
      </c>
      <c r="H36" s="3">
        <v>11</v>
      </c>
      <c r="I36" s="3">
        <v>1</v>
      </c>
      <c r="J36" s="3">
        <v>6</v>
      </c>
      <c r="K36" s="3" t="s">
        <v>6</v>
      </c>
      <c r="L36" s="6">
        <f t="shared" si="1"/>
        <v>6</v>
      </c>
      <c r="O36" s="3">
        <v>17</v>
      </c>
      <c r="P36" s="3">
        <v>7</v>
      </c>
      <c r="Q36" s="3">
        <v>9</v>
      </c>
      <c r="R36" s="3" t="s">
        <v>4</v>
      </c>
      <c r="S36" s="6">
        <f t="shared" si="0"/>
        <v>5</v>
      </c>
    </row>
    <row r="37" spans="2:31" ht="15.75" customHeight="1" x14ac:dyDescent="0.3">
      <c r="B37" s="4">
        <v>21</v>
      </c>
      <c r="C37" s="4">
        <v>4</v>
      </c>
      <c r="D37" s="4">
        <v>5</v>
      </c>
      <c r="E37" s="4" t="s">
        <v>9</v>
      </c>
      <c r="H37" s="3">
        <v>12</v>
      </c>
      <c r="I37" s="3">
        <v>2</v>
      </c>
      <c r="J37" s="3">
        <v>6</v>
      </c>
      <c r="K37" s="3" t="s">
        <v>6</v>
      </c>
      <c r="L37" s="6">
        <f t="shared" si="1"/>
        <v>5</v>
      </c>
      <c r="O37" s="3">
        <v>3</v>
      </c>
      <c r="P37" s="3">
        <v>3</v>
      </c>
      <c r="Q37" s="3">
        <v>2</v>
      </c>
      <c r="R37" s="3" t="s">
        <v>4</v>
      </c>
      <c r="S37" s="6">
        <f t="shared" si="0"/>
        <v>6</v>
      </c>
      <c r="AA37" s="2" t="s">
        <v>0</v>
      </c>
      <c r="AB37" s="2" t="s">
        <v>1</v>
      </c>
      <c r="AC37" s="2" t="s">
        <v>2</v>
      </c>
      <c r="AD37" s="2" t="s">
        <v>3</v>
      </c>
      <c r="AE37" s="14" t="s">
        <v>21</v>
      </c>
    </row>
    <row r="38" spans="2:31" ht="15.75" customHeight="1" x14ac:dyDescent="0.3">
      <c r="H38" s="3">
        <v>13</v>
      </c>
      <c r="I38" s="3">
        <v>3</v>
      </c>
      <c r="J38" s="3">
        <v>7</v>
      </c>
      <c r="K38" s="3" t="s">
        <v>4</v>
      </c>
      <c r="L38" s="6">
        <f t="shared" si="1"/>
        <v>5</v>
      </c>
      <c r="O38" s="3">
        <v>11</v>
      </c>
      <c r="P38" s="3">
        <v>1</v>
      </c>
      <c r="Q38" s="3">
        <v>6</v>
      </c>
      <c r="R38" s="3" t="s">
        <v>6</v>
      </c>
      <c r="S38" s="6">
        <f t="shared" si="0"/>
        <v>6</v>
      </c>
      <c r="AA38" s="17">
        <v>7</v>
      </c>
      <c r="AB38" s="17">
        <v>7</v>
      </c>
      <c r="AC38" s="17">
        <v>4</v>
      </c>
      <c r="AD38" s="17" t="s">
        <v>4</v>
      </c>
      <c r="AE38" s="18">
        <f>ABS(AB38 - 6) + ABS(AC38 - 5)</f>
        <v>2</v>
      </c>
    </row>
    <row r="39" spans="2:31" ht="15.75" customHeight="1" x14ac:dyDescent="0.3">
      <c r="H39" s="3">
        <v>14</v>
      </c>
      <c r="I39" s="3">
        <v>4</v>
      </c>
      <c r="J39" s="3">
        <v>7</v>
      </c>
      <c r="K39" s="3" t="s">
        <v>4</v>
      </c>
      <c r="L39" s="6">
        <f t="shared" si="1"/>
        <v>4</v>
      </c>
      <c r="O39" s="3">
        <v>18</v>
      </c>
      <c r="P39" s="3">
        <v>8</v>
      </c>
      <c r="Q39" s="3">
        <v>9</v>
      </c>
      <c r="R39" s="3" t="s">
        <v>4</v>
      </c>
      <c r="S39" s="6">
        <f t="shared" si="0"/>
        <v>6</v>
      </c>
      <c r="AA39" s="17">
        <v>6</v>
      </c>
      <c r="AB39" s="17">
        <v>6</v>
      </c>
      <c r="AC39" s="17">
        <v>3</v>
      </c>
      <c r="AD39" s="17" t="s">
        <v>6</v>
      </c>
      <c r="AE39" s="18">
        <f>ABS(AB39 - 6) + ABS(AC39 - 5)</f>
        <v>2</v>
      </c>
    </row>
    <row r="40" spans="2:31" ht="15.75" customHeight="1" x14ac:dyDescent="0.3">
      <c r="H40" s="3">
        <v>15</v>
      </c>
      <c r="I40" s="3">
        <v>5</v>
      </c>
      <c r="J40" s="3">
        <v>8</v>
      </c>
      <c r="K40" s="3" t="s">
        <v>6</v>
      </c>
      <c r="L40" s="6">
        <f t="shared" si="1"/>
        <v>4</v>
      </c>
      <c r="O40" s="3">
        <v>2</v>
      </c>
      <c r="P40" s="3">
        <v>2</v>
      </c>
      <c r="Q40" s="3">
        <v>1</v>
      </c>
      <c r="R40" s="3" t="s">
        <v>4</v>
      </c>
      <c r="S40" s="6">
        <f t="shared" si="0"/>
        <v>8</v>
      </c>
      <c r="AA40" s="17">
        <v>8</v>
      </c>
      <c r="AB40" s="17">
        <v>8</v>
      </c>
      <c r="AC40" s="17">
        <v>4</v>
      </c>
      <c r="AD40" s="17" t="s">
        <v>4</v>
      </c>
      <c r="AE40" s="18">
        <f>ABS(AB40 - 6) + ABS(AC40 - 5)</f>
        <v>3</v>
      </c>
    </row>
    <row r="41" spans="2:31" ht="15.75" customHeight="1" x14ac:dyDescent="0.3">
      <c r="H41" s="3">
        <v>16</v>
      </c>
      <c r="I41" s="3">
        <v>6</v>
      </c>
      <c r="J41" s="3">
        <v>8</v>
      </c>
      <c r="K41" s="3" t="s">
        <v>6</v>
      </c>
      <c r="L41" s="6">
        <f t="shared" si="1"/>
        <v>3</v>
      </c>
      <c r="O41" s="3">
        <v>19</v>
      </c>
      <c r="P41" s="3">
        <v>9</v>
      </c>
      <c r="Q41" s="3">
        <v>10</v>
      </c>
      <c r="R41" s="3" t="s">
        <v>6</v>
      </c>
      <c r="S41" s="6">
        <f t="shared" si="0"/>
        <v>8</v>
      </c>
      <c r="AA41" s="17">
        <v>5</v>
      </c>
      <c r="AB41" s="17">
        <v>5</v>
      </c>
      <c r="AC41" s="17">
        <v>3</v>
      </c>
      <c r="AD41" s="17" t="s">
        <v>6</v>
      </c>
      <c r="AE41" s="18">
        <f>ABS(AB41 - 6) + ABS(AC41 - 5)</f>
        <v>3</v>
      </c>
    </row>
    <row r="42" spans="2:31" ht="15.75" customHeight="1" x14ac:dyDescent="0.3">
      <c r="H42" s="3">
        <v>17</v>
      </c>
      <c r="I42" s="3">
        <v>7</v>
      </c>
      <c r="J42" s="3">
        <v>9</v>
      </c>
      <c r="K42" s="3" t="s">
        <v>4</v>
      </c>
      <c r="L42" s="6">
        <f t="shared" si="1"/>
        <v>5</v>
      </c>
      <c r="O42" s="3">
        <v>1</v>
      </c>
      <c r="P42" s="3">
        <v>1</v>
      </c>
      <c r="Q42" s="3">
        <v>1</v>
      </c>
      <c r="R42" s="3" t="s">
        <v>4</v>
      </c>
      <c r="S42" s="6">
        <f t="shared" si="0"/>
        <v>9</v>
      </c>
      <c r="AA42" s="17">
        <v>9</v>
      </c>
      <c r="AB42" s="17">
        <v>9</v>
      </c>
      <c r="AC42" s="17">
        <v>5</v>
      </c>
      <c r="AD42" s="17" t="s">
        <v>6</v>
      </c>
      <c r="AE42" s="18">
        <f>ABS(AB42 - 6) + ABS(AC42 - 5)</f>
        <v>3</v>
      </c>
    </row>
    <row r="43" spans="2:31" ht="15.75" customHeight="1" x14ac:dyDescent="0.3">
      <c r="H43" s="3">
        <v>18</v>
      </c>
      <c r="I43" s="3">
        <v>8</v>
      </c>
      <c r="J43" s="3">
        <v>9</v>
      </c>
      <c r="K43" s="3" t="s">
        <v>4</v>
      </c>
      <c r="L43" s="6">
        <f t="shared" si="1"/>
        <v>6</v>
      </c>
      <c r="O43" s="3">
        <v>20</v>
      </c>
      <c r="P43" s="3">
        <v>10</v>
      </c>
      <c r="Q43" s="3">
        <v>10</v>
      </c>
      <c r="R43" s="3" t="s">
        <v>4</v>
      </c>
      <c r="S43" s="6">
        <f t="shared" si="0"/>
        <v>9</v>
      </c>
      <c r="AA43" s="3">
        <v>16</v>
      </c>
      <c r="AB43" s="3">
        <v>6</v>
      </c>
      <c r="AC43" s="3">
        <v>8</v>
      </c>
      <c r="AD43" s="3" t="s">
        <v>6</v>
      </c>
      <c r="AE43" s="6">
        <f>ABS(AB43 - 6) + ABS(AC43 - 5)</f>
        <v>3</v>
      </c>
    </row>
    <row r="44" spans="2:31" ht="15.75" customHeight="1" x14ac:dyDescent="0.3">
      <c r="H44" s="3">
        <v>19</v>
      </c>
      <c r="I44" s="3">
        <v>9</v>
      </c>
      <c r="J44" s="3">
        <v>10</v>
      </c>
      <c r="K44" s="3" t="s">
        <v>6</v>
      </c>
      <c r="L44" s="6">
        <f t="shared" si="1"/>
        <v>8</v>
      </c>
      <c r="AA44" s="3">
        <v>10</v>
      </c>
      <c r="AB44" s="3">
        <v>10</v>
      </c>
      <c r="AC44" s="3">
        <v>5</v>
      </c>
      <c r="AD44" s="3" t="s">
        <v>4</v>
      </c>
      <c r="AE44" s="6">
        <f>ABS(AB44 - 6) + ABS(AC44 - 5)</f>
        <v>4</v>
      </c>
    </row>
    <row r="45" spans="2:31" ht="15.75" customHeight="1" x14ac:dyDescent="0.3">
      <c r="H45" s="3">
        <v>20</v>
      </c>
      <c r="I45" s="3">
        <v>10</v>
      </c>
      <c r="J45" s="3">
        <v>10</v>
      </c>
      <c r="K45" s="3" t="s">
        <v>4</v>
      </c>
      <c r="L45" s="6">
        <f t="shared" si="1"/>
        <v>9</v>
      </c>
      <c r="AA45" s="3">
        <v>14</v>
      </c>
      <c r="AB45" s="3">
        <v>4</v>
      </c>
      <c r="AC45" s="3">
        <v>7</v>
      </c>
      <c r="AD45" s="3" t="s">
        <v>4</v>
      </c>
      <c r="AE45" s="6">
        <f>ABS(AB45 - 6) + ABS(AC45 - 5)</f>
        <v>4</v>
      </c>
    </row>
    <row r="46" spans="2:31" ht="15.75" customHeight="1" x14ac:dyDescent="0.3">
      <c r="AA46" s="3">
        <v>15</v>
      </c>
      <c r="AB46" s="3">
        <v>5</v>
      </c>
      <c r="AC46" s="3">
        <v>8</v>
      </c>
      <c r="AD46" s="3" t="s">
        <v>6</v>
      </c>
      <c r="AE46" s="6">
        <f>ABS(AB46 - 6) + ABS(AC46 - 5)</f>
        <v>4</v>
      </c>
    </row>
    <row r="47" spans="2:31" ht="15.75" customHeight="1" x14ac:dyDescent="0.3">
      <c r="AA47" s="3">
        <v>13</v>
      </c>
      <c r="AB47" s="3">
        <v>3</v>
      </c>
      <c r="AC47" s="3">
        <v>7</v>
      </c>
      <c r="AD47" s="3" t="s">
        <v>4</v>
      </c>
      <c r="AE47" s="6">
        <f>ABS(AB47 - 6) + ABS(AC47 - 5)</f>
        <v>5</v>
      </c>
    </row>
    <row r="48" spans="2:31" ht="15.75" customHeight="1" x14ac:dyDescent="0.3">
      <c r="AA48" s="3">
        <v>17</v>
      </c>
      <c r="AB48" s="3">
        <v>7</v>
      </c>
      <c r="AC48" s="3">
        <v>9</v>
      </c>
      <c r="AD48" s="3" t="s">
        <v>4</v>
      </c>
      <c r="AE48" s="6">
        <f>ABS(AB48 - 6) + ABS(AC48 - 5)</f>
        <v>5</v>
      </c>
    </row>
    <row r="49" spans="27:38" ht="15.75" customHeight="1" x14ac:dyDescent="0.3">
      <c r="AA49" s="3">
        <v>4</v>
      </c>
      <c r="AB49" s="3">
        <v>4</v>
      </c>
      <c r="AC49" s="3">
        <v>2</v>
      </c>
      <c r="AD49" s="3" t="s">
        <v>6</v>
      </c>
      <c r="AE49" s="6">
        <f>ABS(AB49 - 6) + ABS(AC49 - 5)</f>
        <v>5</v>
      </c>
    </row>
    <row r="50" spans="27:38" ht="15.75" customHeight="1" x14ac:dyDescent="0.3">
      <c r="AA50" s="3">
        <v>12</v>
      </c>
      <c r="AB50" s="3">
        <v>2</v>
      </c>
      <c r="AC50" s="3">
        <v>6</v>
      </c>
      <c r="AD50" s="3" t="s">
        <v>6</v>
      </c>
      <c r="AE50" s="6">
        <f>ABS(AB50 - 6) + ABS(AC50 - 5)</f>
        <v>5</v>
      </c>
    </row>
    <row r="51" spans="27:38" ht="15.75" customHeight="1" x14ac:dyDescent="0.3">
      <c r="AA51" s="3">
        <v>3</v>
      </c>
      <c r="AB51" s="3">
        <v>3</v>
      </c>
      <c r="AC51" s="3">
        <v>2</v>
      </c>
      <c r="AD51" s="3" t="s">
        <v>4</v>
      </c>
      <c r="AE51" s="6">
        <f>ABS(AB51 - 6) + ABS(AC51 - 5)</f>
        <v>6</v>
      </c>
    </row>
    <row r="52" spans="27:38" ht="15.75" customHeight="1" x14ac:dyDescent="0.3">
      <c r="AA52" s="3">
        <v>18</v>
      </c>
      <c r="AB52" s="3">
        <v>8</v>
      </c>
      <c r="AC52" s="3">
        <v>9</v>
      </c>
      <c r="AD52" s="3" t="s">
        <v>4</v>
      </c>
      <c r="AE52" s="6">
        <f>ABS(AB52 - 6) + ABS(AC52 - 5)</f>
        <v>6</v>
      </c>
    </row>
    <row r="53" spans="27:38" ht="15.75" customHeight="1" x14ac:dyDescent="0.3">
      <c r="AA53" s="3">
        <v>11</v>
      </c>
      <c r="AB53" s="3">
        <v>1</v>
      </c>
      <c r="AC53" s="3">
        <v>6</v>
      </c>
      <c r="AD53" s="3" t="s">
        <v>6</v>
      </c>
      <c r="AE53" s="6">
        <f>ABS(AB53 - 6) + ABS(AC53 - 5)</f>
        <v>6</v>
      </c>
    </row>
    <row r="54" spans="27:38" ht="15.75" customHeight="1" x14ac:dyDescent="0.3">
      <c r="AA54" s="3">
        <v>2</v>
      </c>
      <c r="AB54" s="3">
        <v>2</v>
      </c>
      <c r="AC54" s="3">
        <v>1</v>
      </c>
      <c r="AD54" s="3" t="s">
        <v>4</v>
      </c>
      <c r="AE54" s="6">
        <f>ABS(AB54 - 6) + ABS(AC54 - 5)</f>
        <v>8</v>
      </c>
    </row>
    <row r="55" spans="27:38" ht="15.75" customHeight="1" x14ac:dyDescent="0.3">
      <c r="AA55" s="3">
        <v>19</v>
      </c>
      <c r="AB55" s="3">
        <v>9</v>
      </c>
      <c r="AC55" s="3">
        <v>10</v>
      </c>
      <c r="AD55" s="3" t="s">
        <v>6</v>
      </c>
      <c r="AE55" s="6">
        <f>ABS(AB55 - 6) + ABS(AC55 - 5)</f>
        <v>8</v>
      </c>
    </row>
    <row r="56" spans="27:38" ht="15.75" customHeight="1" x14ac:dyDescent="0.3">
      <c r="AA56" s="3">
        <v>1</v>
      </c>
      <c r="AB56" s="3">
        <v>1</v>
      </c>
      <c r="AC56" s="3">
        <v>1</v>
      </c>
      <c r="AD56" s="3" t="s">
        <v>4</v>
      </c>
      <c r="AE56" s="6">
        <f>ABS(AB56 - 6) + ABS(AC56 - 5)</f>
        <v>9</v>
      </c>
      <c r="AG56" s="27" t="s">
        <v>35</v>
      </c>
      <c r="AH56" s="27"/>
      <c r="AI56" s="27"/>
      <c r="AJ56" s="27"/>
      <c r="AK56" s="27"/>
      <c r="AL56" s="27"/>
    </row>
    <row r="57" spans="27:38" ht="15.75" customHeight="1" x14ac:dyDescent="0.3">
      <c r="AA57" s="3">
        <v>20</v>
      </c>
      <c r="AB57" s="3">
        <v>10</v>
      </c>
      <c r="AC57" s="3">
        <v>10</v>
      </c>
      <c r="AD57" s="3" t="s">
        <v>4</v>
      </c>
      <c r="AE57" s="6">
        <f>ABS(AB57 - 6) + ABS(AC57 - 5)</f>
        <v>9</v>
      </c>
      <c r="AG57" s="27"/>
      <c r="AH57" s="27"/>
      <c r="AI57" s="27"/>
      <c r="AJ57" s="27"/>
      <c r="AK57" s="27"/>
      <c r="AL57" s="27"/>
    </row>
    <row r="58" spans="27:38" ht="15.75" customHeight="1" x14ac:dyDescent="0.3">
      <c r="AG58" s="27"/>
      <c r="AH58" s="27"/>
      <c r="AI58" s="27"/>
      <c r="AJ58" s="27"/>
      <c r="AK58" s="27"/>
      <c r="AL58" s="27"/>
    </row>
    <row r="59" spans="27:38" ht="15.75" customHeight="1" x14ac:dyDescent="0.3">
      <c r="AG59" s="27"/>
      <c r="AH59" s="27"/>
      <c r="AI59" s="27"/>
      <c r="AJ59" s="27"/>
      <c r="AK59" s="27"/>
      <c r="AL59" s="27"/>
    </row>
    <row r="60" spans="27:38" ht="15.75" customHeight="1" x14ac:dyDescent="0.3">
      <c r="AG60" s="27"/>
      <c r="AH60" s="27"/>
      <c r="AI60" s="27"/>
      <c r="AJ60" s="27"/>
      <c r="AK60" s="27"/>
      <c r="AL60" s="27"/>
    </row>
    <row r="61" spans="27:38" ht="15.75" customHeight="1" x14ac:dyDescent="0.3">
      <c r="AG61" s="27"/>
      <c r="AH61" s="27"/>
      <c r="AI61" s="27"/>
      <c r="AJ61" s="27"/>
      <c r="AK61" s="27"/>
      <c r="AL61" s="27"/>
    </row>
    <row r="62" spans="27:38" ht="15.75" customHeight="1" x14ac:dyDescent="0.3">
      <c r="AG62" s="27"/>
      <c r="AH62" s="27"/>
      <c r="AI62" s="27"/>
      <c r="AJ62" s="27"/>
      <c r="AK62" s="27"/>
      <c r="AL62" s="27"/>
    </row>
    <row r="63" spans="27:38" ht="15.75" customHeight="1" x14ac:dyDescent="0.3"/>
    <row r="64" spans="27:3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sortState xmlns:xlrd2="http://schemas.microsoft.com/office/spreadsheetml/2017/richdata2" ref="AA12:AD31">
    <sortCondition ref="AA12:AA31"/>
  </sortState>
  <mergeCells count="8">
    <mergeCell ref="AG56:AL62"/>
    <mergeCell ref="T33:Y34"/>
    <mergeCell ref="AA34:AD35"/>
    <mergeCell ref="B3:F3"/>
    <mergeCell ref="H14:I14"/>
    <mergeCell ref="O14:S15"/>
    <mergeCell ref="AA9:AD9"/>
    <mergeCell ref="H15:M16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priscilla tiara</cp:lastModifiedBy>
  <dcterms:created xsi:type="dcterms:W3CDTF">2025-03-25T06:11:06Z</dcterms:created>
  <dcterms:modified xsi:type="dcterms:W3CDTF">2026-04-17T12:21:54Z</dcterms:modified>
</cp:coreProperties>
</file>